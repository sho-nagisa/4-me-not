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4cfce1656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84c017c56ab440c"/>
    <x:sheet xmlns:r="http://schemas.openxmlformats.org/officeDocument/2006/relationships" name="優先度サマリ" sheetId="2" r:id="Ra4eb94ae3e1e49e7"/>
    <x:sheet xmlns:r="http://schemas.openxmlformats.org/officeDocument/2006/relationships" name="テスト一覧" sheetId="3" r:id="R8bdfdfab04a5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"/>
      <x:name val="Carlito"/>
    </x:font>
    <x:font>
      <x:sz val="11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Yu Gothic"/>
    </x:font>
    <x:font>
      <x:sz val="10"/>
      <x:name val="Yu Gothic"/>
    </x:font>
    <x:font>
      <x:sz val="10"/>
      <x:color rgb="1F2937"/>
      <x:name val="Yu Gothic"/>
    </x:font>
    <x:font>
      <x:b/>
      <x:sz val="1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5F7FA"/>
      </x:patternFill>
    </x:fill>
    <x:fill>
      <x:patternFill patternType="solid">
        <x:fgColor rgb="3B6EA8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5e5e0676b4586" /><Relationship Type="http://schemas.openxmlformats.org/officeDocument/2006/relationships/theme" Target="/xl/theme/theme1.xml" Id="R43c6c635d4c844f8" /><Relationship Type="http://schemas.openxmlformats.org/officeDocument/2006/relationships/sharedStrings" Target="/xl/sharedStrings.xml" Id="R21b29d163b5c48cb" /><Relationship Type="http://schemas.openxmlformats.org/officeDocument/2006/relationships/worksheet" Target="/xl/worksheets/sheet1.xml" Id="R984c017c56ab440c" /><Relationship Type="http://schemas.openxmlformats.org/officeDocument/2006/relationships/worksheet" Target="/xl/worksheets/sheet2.xml" Id="Ra4eb94ae3e1e49e7" /><Relationship Type="http://schemas.openxmlformats.org/officeDocument/2006/relationships/worksheet" Target="/xl/worksheets/sheet3.xml" Id="R8bdfdfab04a545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60273c92cb4b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優先度別テスト件数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'優先度サマリ'!$G$4:$G$7</c:f>
              <c:strCache>
                <c:ptCount val="0"/>
              </c:strCache>
            </c:strRef>
          </c:cat>
          <c:val>
            <c:numRef>
              <c:f>'優先度サマリ'!$H$4:$H$7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60273c92cb4b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nedTests" displayName="PlannedTests" ref="A2:H50" headerRowCount="1">
  <x:tableColumns count="8">
    <x:tableColumn id="1" name="ID"/>
    <x:tableColumn id="2" name="領域"/>
    <x:tableColumn id="3" name="対象"/>
    <x:tableColumn id="4" name="テスト内容"/>
    <x:tableColumn id="5" name="目的"/>
    <x:tableColumn id="6" name="優先度"/>
    <x:tableColumn id="7" name="種別"/>
    <x:tableColumn id="8" name="前提/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f1884ebd938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c95d8640f4b4f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1.4399995803833" hidden="0" customWidth="1"/>
    <x:col min="3" max="3" width="1.75" hidden="0" customWidth="1"/>
    <x:col min="4" max="4" width="19.520000457763672" hidden="0" customWidth="1"/>
    <x:col min="5" max="5" width="27.59000015258789" hidden="0" customWidth="1"/>
    <x:col min="6" max="6" width="24.899999618530273" hidden="0" customWidth="1"/>
    <x:col min="7" max="7" width="20.860000610351562" hidden="0" customWidth="1"/>
    <x:col min="8" max="8" width="24.899999618530273" hidden="0" customWidth="1"/>
  </x:cols>
  <x:sheetData>
    <x:row r="1" ht="25.5" customHeight="1">
      <x:c r="A1" s="36" t="str">
        <x:v>4-me-not テスト拡充計画</x:v>
      </x:c>
      <x:c r="B1" s="36" t="str">
        <x:v>4-me-not テスト拡充計画</x:v>
      </x:c>
      <x:c r="C1" s="36" t="str">
        <x:v>4-me-not テスト拡充計画</x:v>
      </x:c>
      <x:c r="D1" s="36" t="str">
        <x:v>4-me-not テスト拡充計画</x:v>
      </x:c>
      <x:c r="E1" s="36" t="str">
        <x:v>4-me-not テスト拡充計画</x:v>
      </x:c>
      <x:c r="F1" s="36" t="str">
        <x:v>4-me-not テスト拡充計画</x:v>
      </x:c>
      <x:c r="G1" s="36" t="str">
        <x:v>4-me-not テスト拡充計画</x:v>
      </x:c>
      <x:c r="H1" s="36" t="str">
        <x:v>4-me-not テスト拡充計画</x:v>
      </x:c>
    </x:row>
    <x:row r="2">
      <x:c r="A2" s="37"/>
      <x:c r="B2" s="37"/>
      <x:c r="C2" s="37"/>
      <x:c r="D2" s="37"/>
      <x:c r="E2" s="37"/>
      <x:c r="F2" s="37"/>
      <x:c r="G2" s="37"/>
      <x:c r="H2" s="37"/>
    </x:row>
    <x:row r="3" ht="28.5" customHeight="1">
      <x:c r="A3" s="38" t="str">
        <x:v>目的: 現状のバックエンド中心スモークテストを、リスクの高い機能別テストへ拡張するための実装予定一覧です。</x:v>
      </x:c>
      <x:c r="B3" s="38" t="str">
        <x:v>目的: 現状のバックエンド中心スモークテストを、リスクの高い機能別テストへ拡張するための実装予定一覧です。</x:v>
      </x:c>
      <x:c r="C3" s="38" t="str">
        <x:v>目的: 現状のバックエンド中心スモークテストを、リスクの高い機能別テストへ拡張するための実装予定一覧です。</x:v>
      </x:c>
      <x:c r="D3" s="38" t="str">
        <x:v>目的: 現状のバックエンド中心スモークテストを、リスクの高い機能別テストへ拡張するための実装予定一覧です。</x:v>
      </x:c>
      <x:c r="E3" s="38" t="str">
        <x:v>目的: 現状のバックエンド中心スモークテストを、リスクの高い機能別テストへ拡張するための実装予定一覧です。</x:v>
      </x:c>
      <x:c r="F3" s="38" t="str">
        <x:v>目的: 現状のバックエンド中心スモークテストを、リスクの高い機能別テストへ拡張するための実装予定一覧です。</x:v>
      </x:c>
      <x:c r="G3" s="38" t="str">
        <x:v>目的: 現状のバックエンド中心スモークテストを、リスクの高い機能別テストへ拡張するための実装予定一覧です。</x:v>
      </x:c>
      <x:c r="H3" s="38" t="str">
        <x:v>目的: 現状のバックエンド中心スモークテストを、リスクの高い機能別テストへ拡張するための実装予定一覧です。</x:v>
      </x:c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9" t="str">
        <x:v>総テストケース数</x:v>
      </x:c>
      <x:c r="B5" s="40" t="n">
        <x:f>COUNTA('テスト一覧'!$A$2:$A$200)</x:f>
        <x:v>49</x:v>
      </x:c>
      <x:c r="C5" s="37"/>
      <x:c r="D5" s="41" t="str">
        <x:v>推奨着手順</x:v>
      </x:c>
      <x:c r="E5" s="41" t="str">
        <x:v>狙い</x:v>
      </x:c>
      <x:c r="F5" s="41" t="str">
        <x:v>主な対象</x:v>
      </x:c>
      <x:c r="G5" s="41" t="str">
        <x:v>完了条件</x:v>
      </x:c>
      <x:c r="H5" s="41" t="str">
        <x:v>備考</x:v>
      </x:c>
    </x:row>
    <x:row r="6" ht="40.5" customHeight="1">
      <x:c r="A6" s="42" t="str">
        <x:v>P0 件数</x:v>
      </x:c>
      <x:c r="B6" s="43" t="n">
        <x:f>COUNTIF('テスト一覧'!$F$2:$F$200,"P0")</x:f>
        <x:v>17</x:v>
      </x:c>
      <x:c r="C6" s="37"/>
      <x:c r="D6" s="44" t="str">
        <x:v>1. P0 API/Service</x:v>
      </x:c>
      <x:c r="E6" s="44" t="str">
        <x:v>主要データの保存・検索・状態変更を固める</x:v>
      </x:c>
      <x:c r="F6" s="44" t="str">
        <x:v>タスク、検索、カレンダー、参照、やり取り</x:v>
      </x:c>
      <x:c r="G6" s="44" t="str">
        <x:v>P0が全件通る</x:v>
      </x:c>
      <x:c r="H6" s="44" t="str">
        <x:v>CI化前の最小防衛線</x:v>
      </x:c>
    </x:row>
    <x:row r="7" ht="40.5" customHeight="1">
      <x:c r="A7" s="42" t="str">
        <x:v>P1 件数</x:v>
      </x:c>
      <x:c r="B7" s="43" t="n">
        <x:f>COUNTIF('テスト一覧'!$F$2:$F$200,"P1")</x:f>
        <x:v>16</x:v>
      </x:c>
      <x:c r="C7" s="37"/>
      <x:c r="D7" s="44" t="str">
        <x:v>2. P1 境界条件</x:v>
      </x:c>
      <x:c r="E7" s="44" t="str">
        <x:v>hidden、日付、重複、アカウント分離を固める</x:v>
      </x:c>
      <x:c r="F7" s="44" t="str">
        <x:v>参照、やり取り、予定、リマインダー</x:v>
      </x:c>
      <x:c r="G7" s="44" t="str">
        <x:v>P1が全件通る</x:v>
      </x:c>
      <x:c r="H7" s="44" t="str">
        <x:v>仕様未確定箇所は先に期待値を決める</x:v>
      </x:c>
    </x:row>
    <x:row r="8" ht="40.5" customHeight="1">
      <x:c r="A8" s="42" t="str">
        <x:v>P2 件数</x:v>
      </x:c>
      <x:c r="B8" s="43" t="n">
        <x:f>COUNTIF('テスト一覧'!$F$2:$F$200,"P2")</x:f>
        <x:v>11</x:v>
      </x:c>
      <x:c r="C8" s="37"/>
      <x:c r="D8" s="44" t="str">
        <x:v>3. P2 テスト基盤/UI</x:v>
      </x:c>
      <x:c r="E8" s="44" t="str">
        <x:v>追加しやすい構造と最低限のUI回帰を作る</x:v>
      </x:c>
      <x:c r="F8" s="44" t="str">
        <x:v>fixtures、frontend、E2E入口</x:v>
      </x:c>
      <x:c r="G8" s="44" t="str">
        <x:v>frontend test commandが通る</x:v>
      </x:c>
      <x:c r="H8" s="44" t="str">
        <x:v>まず小さいhook/API clientから</x:v>
      </x:c>
    </x:row>
    <x:row r="9" ht="40.5" customHeight="1">
      <x:c r="A9" s="42" t="str">
        <x:v>P3 件数</x:v>
      </x:c>
      <x:c r="B9" s="43" t="n">
        <x:f>COUNTIF('テスト一覧'!$F$2:$F$200,"P3")</x:f>
        <x:v>4</x:v>
      </x:c>
      <x:c r="C9" s="37"/>
      <x:c r="D9" s="44" t="str">
        <x:v>4. P3 E2E拡張</x:v>
      </x:c>
      <x:c r="E9" s="44" t="str">
        <x:v>主要ワークフローをブラウザで確認する</x:v>
      </x:c>
      <x:c r="F9" s="44" t="str">
        <x:v>記録、検索、候補、予定</x:v>
      </x:c>
      <x:c r="G9" s="44" t="str">
        <x:v>代表導線が安定して通る</x:v>
      </x:c>
      <x:c r="H9" s="44" t="str">
        <x:v>バックグラウンド待ちの扱いを設計</x:v>
      </x:c>
    </x:row>
    <x:row r="10" ht="40.5" customHeight="1">
      <x:c r="A10" s="37"/>
      <x:c r="B10" s="37"/>
      <x:c r="C10" s="37"/>
      <x:c r="D10" s="44" t="str">
        <x:v>補足</x:v>
      </x:c>
      <x:c r="E10" s="44" t="str">
        <x:v>既存13件は全件成功</x:v>
      </x:c>
      <x:c r="F10" s="44" t="str">
        <x:v>unittest + TestClient</x:v>
      </x:c>
      <x:c r="G10" s="44" t="str">
        <x:v>ResourceWarningは残存</x:v>
      </x:c>
      <x:c r="H10" s="44" t="str">
        <x:v>接続クローズも別途改善候補</x:v>
      </x:c>
    </x:row>
    <x:row r="11" ht="40.5" customHeight="1">
      <x:c r="A11" s="37"/>
      <x:c r="B11" s="37"/>
      <x:c r="C11" s="37"/>
      <x:c r="D11" s="44" t="str">
        <x:v>対象外</x:v>
      </x:c>
      <x:c r="E11" s="44" t="str">
        <x:v>現時点では性能/負荷テストは優先外</x:v>
      </x:c>
      <x:c r="F11" s="44" t="str">
        <x:v>DB/検索負荷</x:v>
      </x:c>
      <x:c r="G11" s="44" t="str">
        <x:v>必要になった段階で追加</x:v>
      </x:c>
      <x:c r="H11" s="44" t="str">
        <x:v>まず機能回帰を固める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8.75" hidden="0" customWidth="1"/>
    <x:col min="3" max="3" width="39.70000076293945" hidden="0" customWidth="1"/>
    <x:col min="4" max="4" width="34.31999969482422" hidden="0" customWidth="1"/>
    <x:col min="5" max="5" width="19.520000457763672" hidden="0" customWidth="1"/>
    <x:col min="7" max="7" width="10.770000457763672" hidden="0" customWidth="1"/>
    <x:col min="8" max="8" width="10.770000457763672" hidden="0" customWidth="1"/>
  </x:cols>
  <x:sheetData>
    <x:row r="1" ht="25.5" customHeight="1">
      <x:c r="A1" s="36" t="str">
        <x:v>優先度サマリ</x:v>
      </x:c>
      <x:c r="B1" s="36" t="str">
        <x:v>優先度サマリ</x:v>
      </x:c>
      <x:c r="C1" s="36" t="str">
        <x:v>優先度サマリ</x:v>
      </x:c>
      <x:c r="D1" s="36" t="str">
        <x:v>優先度サマリ</x:v>
      </x:c>
      <x:c r="E1" s="36" t="str">
        <x:v>優先度サマリ</x:v>
      </x:c>
      <x:c r="F1" s="37"/>
      <x:c r="G1" s="37"/>
      <x:c r="H1" s="37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41" t="str">
        <x:v>優先度</x:v>
      </x:c>
      <x:c r="B3" s="41" t="str">
        <x:v>件数</x:v>
      </x:c>
      <x:c r="C3" s="41" t="str">
        <x:v>主な目的</x:v>
      </x:c>
      <x:c r="D3" s="41" t="str">
        <x:v>対象領域</x:v>
      </x:c>
      <x:c r="E3" s="41" t="str">
        <x:v>推奨タイミング</x:v>
      </x:c>
      <x:c r="F3" s="37"/>
      <x:c r="G3" s="37" t="str">
        <x:v>優先度</x:v>
      </x:c>
      <x:c r="H3" s="37" t="str">
        <x:v>件数</x:v>
      </x:c>
    </x:row>
    <x:row r="4" ht="36" customHeight="1">
      <x:c r="A4" s="43" t="str">
        <x:v>P0</x:v>
      </x:c>
      <x:c r="B4" s="45" t="n">
        <x:f>COUNTIF('テスト一覧'!$F$2:$F$200,"P0")</x:f>
        <x:v>17</x:v>
      </x:c>
      <x:c r="C4" s="44" t="str">
        <x:v>主要機能の保存・状態変更・検索漏れを防ぐ</x:v>
      </x:c>
      <x:c r="D4" s="44" t="str">
        <x:v>タスク、検索、カレンダー、参照、やり取り</x:v>
      </x:c>
      <x:c r="E4" s="44" t="str">
        <x:v>最初に実装</x:v>
      </x:c>
      <x:c r="F4" s="37"/>
      <x:c r="G4" s="37" t="str">
        <x:f>A4</x:f>
        <x:v>P0</x:v>
      </x:c>
      <x:c r="H4" s="37" t="n">
        <x:f>B4</x:f>
        <x:v>17</x:v>
      </x:c>
    </x:row>
    <x:row r="5" ht="36" customHeight="1">
      <x:c r="A5" s="43" t="str">
        <x:v>P1</x:v>
      </x:c>
      <x:c r="B5" s="45" t="n">
        <x:f>COUNTIF('テスト一覧'!$F$2:$F$200,"P1")</x:f>
        <x:v>16</x:v>
      </x:c>
      <x:c r="C5" s="44" t="str">
        <x:v>境界条件、hidden、重複、日付、アカウント分離を固める</x:v>
      </x:c>
      <x:c r="D5" s="44" t="str">
        <x:v>API全般、リマインダー、ダッシュボード</x:v>
      </x:c>
      <x:c r="E5" s="44" t="str">
        <x:v>P0後すぐ</x:v>
      </x:c>
      <x:c r="F5" s="37"/>
      <x:c r="G5" s="37" t="str">
        <x:f>A5</x:f>
        <x:v>P1</x:v>
      </x:c>
      <x:c r="H5" s="37" t="n">
        <x:f>B5</x:f>
        <x:v>16</x:v>
      </x:c>
    </x:row>
    <x:row r="6" ht="36" customHeight="1">
      <x:c r="A6" s="43" t="str">
        <x:v>P2</x:v>
      </x:c>
      <x:c r="B6" s="45" t="n">
        <x:f>COUNTIF('テスト一覧'!$F$2:$F$200,"P2")</x:f>
        <x:v>11</x:v>
      </x:c>
      <x:c r="C6" s="44" t="str">
        <x:v>純粋ロジック、テスト基盤、UIテストの入口を整える</x:v>
      </x:c>
      <x:c r="D6" s="44" t="str">
        <x:v>検索回答、fixtures、frontend、E2E入口</x:v>
      </x:c>
      <x:c r="E6" s="44" t="str">
        <x:v>CI整備と同時</x:v>
      </x:c>
      <x:c r="F6" s="37"/>
      <x:c r="G6" s="37" t="str">
        <x:f>A6</x:f>
        <x:v>P2</x:v>
      </x:c>
      <x:c r="H6" s="37" t="n">
        <x:f>B6</x:f>
        <x:v>11</x:v>
      </x:c>
    </x:row>
    <x:row r="7" ht="36" customHeight="1">
      <x:c r="A7" s="43" t="str">
        <x:v>P3</x:v>
      </x:c>
      <x:c r="B7" s="45" t="n">
        <x:f>COUNTIF('テスト一覧'!$F$2:$F$200,"P3")</x:f>
        <x:v>4</x:v>
      </x:c>
      <x:c r="C7" s="44" t="str">
        <x:v>E2E拡張とUI詳細の回帰を増やす</x:v>
      </x:c>
      <x:c r="D7" s="44" t="str">
        <x:v>フロントエンド、E2E</x:v>
      </x:c>
      <x:c r="E7" s="44" t="str">
        <x:v>主要API安定後</x:v>
      </x:c>
      <x:c r="F7" s="37"/>
      <x:c r="G7" s="37" t="str">
        <x:f>A7</x:f>
        <x:v>P3</x:v>
      </x:c>
      <x:c r="H7" s="37" t="n">
        <x:f>B7</x:f>
        <x:v>4</x:v>
      </x:c>
    </x:row>
    <x:row r="8">
      <x:c r="A8" s="37"/>
      <x:c r="B8" s="37"/>
      <x:c r="C8" s="37"/>
      <x:c r="D8" s="37"/>
      <x:c r="E8" s="37"/>
      <x:c r="F8" s="37"/>
      <x:c r="G8" s="37"/>
      <x:c r="H8" s="37"/>
    </x:row>
    <x:row r="9">
      <x:c r="A9" s="37"/>
      <x:c r="B9" s="37"/>
      <x:c r="C9" s="37"/>
      <x:c r="D9" s="37"/>
      <x:c r="E9" s="37"/>
      <x:c r="F9" s="37"/>
      <x:c r="G9" s="37"/>
      <x:c r="H9" s="37"/>
    </x:row>
    <x:row r="10">
      <x:c r="A10" s="46" t="str">
        <x:v>領域</x:v>
      </x:c>
      <x:c r="B10" s="46" t="str">
        <x:v>件数</x:v>
      </x:c>
      <x:c r="C10" s="37"/>
      <x:c r="D10" s="37"/>
      <x:c r="E10" s="37"/>
      <x:c r="F10" s="37"/>
      <x:c r="G10" s="37"/>
      <x:c r="H10" s="37"/>
    </x:row>
    <x:row r="11" ht="18" customHeight="1">
      <x:c r="A11" s="47" t="str">
        <x:v>タスク</x:v>
      </x:c>
      <x:c r="B11" s="47" t="n">
        <x:v>3</x:v>
      </x:c>
      <x:c r="C11" s="37"/>
      <x:c r="D11" s="37"/>
      <x:c r="E11" s="37"/>
      <x:c r="F11" s="37"/>
      <x:c r="G11" s="37"/>
      <x:c r="H11" s="37"/>
    </x:row>
    <x:row r="12" ht="18" customHeight="1">
      <x:c r="A12" s="47" t="str">
        <x:v>タスクAPI</x:v>
      </x:c>
      <x:c r="B12" s="47" t="n">
        <x:v>4</x:v>
      </x:c>
      <x:c r="C12" s="37"/>
      <x:c r="D12" s="37"/>
      <x:c r="E12" s="37"/>
      <x:c r="F12" s="37"/>
      <x:c r="G12" s="37"/>
      <x:c r="H12" s="37"/>
    </x:row>
    <x:row r="13" ht="18" customHeight="1">
      <x:c r="A13" s="47" t="str">
        <x:v>検索</x:v>
      </x:c>
      <x:c r="B13" s="47" t="n">
        <x:v>5</x:v>
      </x:c>
      <x:c r="C13" s="37"/>
      <x:c r="D13" s="37"/>
      <x:c r="E13" s="37"/>
      <x:c r="F13" s="37"/>
      <x:c r="G13" s="37"/>
      <x:c r="H13" s="37"/>
    </x:row>
    <x:row r="14" ht="18" customHeight="1">
      <x:c r="A14" s="47" t="str">
        <x:v>検索API</x:v>
      </x:c>
      <x:c r="B14" s="47" t="n">
        <x:v>1</x:v>
      </x:c>
      <x:c r="C14" s="37"/>
      <x:c r="D14" s="37"/>
      <x:c r="E14" s="37"/>
      <x:c r="F14" s="37"/>
      <x:c r="G14" s="37"/>
      <x:c r="H14" s="37"/>
    </x:row>
    <x:row r="15" ht="18" customHeight="1">
      <x:c r="A15" s="47" t="str">
        <x:v>検索回答</x:v>
      </x:c>
      <x:c r="B15" s="47" t="n">
        <x:v>1</x:v>
      </x:c>
      <x:c r="C15" s="37"/>
      <x:c r="D15" s="37"/>
      <x:c r="E15" s="37"/>
      <x:c r="F15" s="37"/>
      <x:c r="G15" s="37"/>
      <x:c r="H15" s="37"/>
    </x:row>
    <x:row r="16" ht="18" customHeight="1">
      <x:c r="A16" s="47" t="str">
        <x:v>カレンダーAPI</x:v>
      </x:c>
      <x:c r="B16" s="47" t="n">
        <x:v>4</x:v>
      </x:c>
      <x:c r="C16" s="37"/>
      <x:c r="D16" s="37"/>
      <x:c r="E16" s="37"/>
      <x:c r="F16" s="37"/>
      <x:c r="G16" s="37"/>
      <x:c r="H16" s="37"/>
    </x:row>
    <x:row r="17" ht="18" customHeight="1">
      <x:c r="A17" s="47" t="str">
        <x:v>カレンダー検索</x:v>
      </x:c>
      <x:c r="B17" s="47" t="n">
        <x:v>1</x:v>
      </x:c>
      <x:c r="C17" s="37"/>
      <x:c r="D17" s="37"/>
      <x:c r="E17" s="37"/>
      <x:c r="F17" s="37"/>
      <x:c r="G17" s="37"/>
      <x:c r="H17" s="37"/>
    </x:row>
    <x:row r="18" ht="18" customHeight="1">
      <x:c r="A18" s="47" t="str">
        <x:v>参照データ</x:v>
      </x:c>
      <x:c r="B18" s="47" t="n">
        <x:v>7</x:v>
      </x:c>
      <x:c r="C18" s="37"/>
      <x:c r="D18" s="37"/>
      <x:c r="E18" s="37"/>
      <x:c r="F18" s="37"/>
      <x:c r="G18" s="37"/>
      <x:c r="H18" s="37"/>
    </x:row>
    <x:row r="19" ht="18" customHeight="1">
      <x:c r="A19" s="47" t="str">
        <x:v>やり取りAPI</x:v>
      </x:c>
      <x:c r="B19" s="47" t="n">
        <x:v>6</x:v>
      </x:c>
      <x:c r="C19" s="37"/>
      <x:c r="D19" s="37"/>
      <x:c r="E19" s="37"/>
      <x:c r="F19" s="37"/>
      <x:c r="G19" s="37"/>
      <x:c r="H19" s="37"/>
    </x:row>
    <x:row r="20" ht="18" customHeight="1">
      <x:c r="A20" s="47" t="str">
        <x:v>人物ダッシュボード</x:v>
      </x:c>
      <x:c r="B20" s="47" t="n">
        <x:v>1</x:v>
      </x:c>
      <x:c r="C20" s="37"/>
      <x:c r="D20" s="37"/>
      <x:c r="E20" s="37"/>
      <x:c r="F20" s="37"/>
      <x:c r="G20" s="37"/>
      <x:c r="H20" s="37"/>
    </x:row>
    <x:row r="21" ht="18" customHeight="1">
      <x:c r="A21" s="47" t="str">
        <x:v>概要API</x:v>
      </x:c>
      <x:c r="B21" s="47" t="n">
        <x:v>1</x:v>
      </x:c>
      <x:c r="C21" s="37"/>
      <x:c r="D21" s="37"/>
      <x:c r="E21" s="37"/>
      <x:c r="F21" s="37"/>
      <x:c r="G21" s="37"/>
      <x:c r="H21" s="37"/>
    </x:row>
    <x:row r="22" ht="18" customHeight="1">
      <x:c r="A22" s="47" t="str">
        <x:v>リマインダーAPI</x:v>
      </x:c>
      <x:c r="B22" s="47" t="n">
        <x:v>2</x:v>
      </x:c>
      <x:c r="C22" s="37"/>
      <x:c r="D22" s="37"/>
      <x:c r="E22" s="37"/>
      <x:c r="F22" s="37"/>
      <x:c r="G22" s="37"/>
      <x:c r="H22" s="37"/>
    </x:row>
    <x:row r="23" ht="18" customHeight="1">
      <x:c r="A23" s="47" t="str">
        <x:v>アカウント分離</x:v>
      </x:c>
      <x:c r="B23" s="47" t="n">
        <x:v>1</x:v>
      </x:c>
      <x:c r="C23" s="37"/>
      <x:c r="D23" s="37"/>
      <x:c r="E23" s="37"/>
      <x:c r="F23" s="37"/>
      <x:c r="G23" s="37"/>
      <x:c r="H23" s="37"/>
    </x:row>
    <x:row r="24" ht="18" customHeight="1">
      <x:c r="A24" s="47" t="str">
        <x:v>テスト基盤</x:v>
      </x:c>
      <x:c r="B24" s="47" t="n">
        <x:v>2</x:v>
      </x:c>
      <x:c r="C24" s="37"/>
      <x:c r="D24" s="37"/>
      <x:c r="E24" s="37"/>
      <x:c r="F24" s="37"/>
      <x:c r="G24" s="37"/>
      <x:c r="H24" s="37"/>
    </x:row>
    <x:row r="25" ht="18" customHeight="1">
      <x:c r="A25" s="47" t="str">
        <x:v>フロントエンド</x:v>
      </x:c>
      <x:c r="B25" s="47" t="n">
        <x:v>6</x:v>
      </x:c>
      <x:c r="C25" s="37"/>
      <x:c r="D25" s="37"/>
      <x:c r="E25" s="37"/>
      <x:c r="F25" s="37"/>
      <x:c r="G25" s="37"/>
      <x:c r="H25" s="37"/>
    </x:row>
    <x:row r="26" ht="18" customHeight="1">
      <x:c r="A26" s="47" t="str">
        <x:v>E2E</x:v>
      </x:c>
      <x:c r="B26" s="47" t="n">
        <x:v>3</x:v>
      </x:c>
      <x:c r="C26" s="37"/>
      <x:c r="D26" s="37"/>
      <x:c r="E26" s="37"/>
      <x:c r="F26" s="37"/>
      <x:c r="G26" s="37"/>
      <x:c r="H26" s="37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bf1884ebd9384e6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.479999542236328" hidden="0" customWidth="1"/>
    <x:col min="3" max="3" width="28.940000534057617" hidden="0" customWidth="1"/>
    <x:col min="4" max="4" width="43.7400016784668" hidden="0" customWidth="1"/>
    <x:col min="5" max="5" width="45.09000015258789" hidden="0" customWidth="1"/>
    <x:col min="6" max="6" width="8.75" hidden="0" customWidth="1"/>
    <x:col min="7" max="7" width="16.81999969482422" hidden="0" customWidth="1"/>
    <x:col min="8" max="8" width="34.31999969482422" hidden="0" customWidth="1"/>
    <x:col min="10" max="10" width="10.09000015258789" hidden="0" customWidth="1"/>
    <x:col min="11" max="11" width="34.31999969482422" hidden="0" customWidth="1"/>
  </x:cols>
  <x:sheetData>
    <x:row r="1" ht="25.5" customHeight="1">
      <x:c r="A1" s="36" t="str">
        <x:v>実装予定テスト一覧</x:v>
      </x:c>
      <x:c r="B1" s="36" t="str">
        <x:v>実装予定テスト一覧</x:v>
      </x:c>
      <x:c r="C1" s="36" t="str">
        <x:v>実装予定テスト一覧</x:v>
      </x:c>
      <x:c r="D1" s="36" t="str">
        <x:v>実装予定テスト一覧</x:v>
      </x:c>
      <x:c r="E1" s="36" t="str">
        <x:v>実装予定テスト一覧</x:v>
      </x:c>
      <x:c r="F1" s="36" t="str">
        <x:v>実装予定テスト一覧</x:v>
      </x:c>
      <x:c r="G1" s="36" t="str">
        <x:v>実装予定テスト一覧</x:v>
      </x:c>
      <x:c r="H1" s="36" t="str">
        <x:v>実装予定テスト一覧</x:v>
      </x:c>
      <x:c r="I1" s="37"/>
      <x:c r="J1" s="37"/>
      <x:c r="K1" s="37"/>
    </x:row>
    <x:row r="2">
      <x:c r="A2" s="41" t="str">
        <x:v>ID</x:v>
      </x:c>
      <x:c r="B2" s="41" t="str">
        <x:v>領域</x:v>
      </x:c>
      <x:c r="C2" s="41" t="str">
        <x:v>対象</x:v>
      </x:c>
      <x:c r="D2" s="41" t="str">
        <x:v>テスト内容</x:v>
      </x:c>
      <x:c r="E2" s="41" t="str">
        <x:v>目的</x:v>
      </x:c>
      <x:c r="F2" s="41" t="str">
        <x:v>優先度</x:v>
      </x:c>
      <x:c r="G2" s="41" t="str">
        <x:v>種別</x:v>
      </x:c>
      <x:c r="H2" s="41" t="str">
        <x:v>前提/備考</x:v>
      </x:c>
      <x:c r="I2" s="37"/>
      <x:c r="J2" s="48" t="str">
        <x:v>優先度</x:v>
      </x:c>
      <x:c r="K2" s="48" t="str">
        <x:v>意味</x:v>
      </x:c>
    </x:row>
    <x:row r="3" ht="34.5" customHeight="1">
      <x:c r="A3" s="49" t="str">
        <x:v>T-001</x:v>
      </x:c>
      <x:c r="B3" s="44" t="str">
        <x:v>タスク</x:v>
      </x:c>
      <x:c r="C3" s="44" t="str">
        <x:v>TaskService.extract_candidates_from_interaction</x:v>
      </x:c>
      <x:c r="D3" s="44" t="str">
        <x:v>やり取り本文/メモから候補TaskとTaskLinkが作られる</x:v>
      </x:c>
      <x:c r="E3" s="44" t="str">
        <x:v>バックグラウンド処理後にDB上のタスク候補と関連リンクが欠けないことを保証する</x:v>
      </x:c>
      <x:c r="F3" s="49" t="str">
        <x:v>P0</x:v>
      </x:c>
      <x:c r="G3" s="44" t="str">
        <x:v>Service integration</x:v>
      </x:c>
      <x:c r="H3" s="44" t="str">
        <x:v>人物・コミュニティ・トピック付きのやり取りをfixtureで作成</x:v>
      </x:c>
      <x:c r="I3" s="37"/>
      <x:c r="J3" s="47" t="str">
        <x:v>P0</x:v>
      </x:c>
      <x:c r="K3" s="47" t="str">
        <x:v>主要機能の回帰防止。先に追加する</x:v>
      </x:c>
    </x:row>
    <x:row r="4" ht="34.5" customHeight="1">
      <x:c r="A4" s="49" t="str">
        <x:v>T-002</x:v>
      </x:c>
      <x:c r="B4" s="44" t="str">
        <x:v>タスク</x:v>
      </x:c>
      <x:c r="C4" s="44" t="str">
        <x:v>TaskService.extract_candidates_from_interaction</x:v>
      </x:c>
      <x:c r="D4" s="44" t="str">
        <x:v>既存の未dismissed候補がある場合は重複作成しない</x:v>
      </x:c>
      <x:c r="E4" s="44" t="str">
        <x:v>同じやり取りから同じタスクが増殖する回帰を防ぐ</x:v>
      </x:c>
      <x:c r="F4" s="49" t="str">
        <x:v>P0</x:v>
      </x:c>
      <x:c r="G4" s="44" t="str">
        <x:v>Service integration</x:v>
      </x:c>
      <x:c r="H4" s="44" t="str">
        <x:v>pending/acceptedを既存データとして用意</x:v>
      </x:c>
      <x:c r="I4" s="37"/>
      <x:c r="J4" s="47" t="str">
        <x:v>P1</x:v>
      </x:c>
      <x:c r="K4" s="47" t="str">
        <x:v>仕様の境界を固める。P0後に続ける</x:v>
      </x:c>
    </x:row>
    <x:row r="5" ht="34.5" customHeight="1">
      <x:c r="A5" s="49" t="str">
        <x:v>T-003</x:v>
      </x:c>
      <x:c r="B5" s="44" t="str">
        <x:v>タスク</x:v>
      </x:c>
      <x:c r="C5" s="44" t="str">
        <x:v>TaskService.extract_candidates_from_interaction</x:v>
      </x:c>
      <x:c r="D5" s="44" t="str">
        <x:v>dismissed済み候補は再抽出対象にできる</x:v>
      </x:c>
      <x:c r="E5" s="44" t="str">
        <x:v>dismiss後に内容を見直した場合の再提案仕様を固定する</x:v>
      </x:c>
      <x:c r="F5" s="49" t="str">
        <x:v>P1</x:v>
      </x:c>
      <x:c r="G5" s="44" t="str">
        <x:v>Service integration</x:v>
      </x:c>
      <x:c r="H5" s="44" t="str">
        <x:v>現実装はcandidate_status != dismissedのみ重複扱い</x:v>
      </x:c>
      <x:c r="I5" s="37"/>
      <x:c r="J5" s="47" t="str">
        <x:v>P2</x:v>
      </x:c>
      <x:c r="K5" s="47" t="str">
        <x:v>保守性とUI回帰。基盤整備とセット</x:v>
      </x:c>
    </x:row>
    <x:row r="6" ht="34.5" customHeight="1">
      <x:c r="A6" s="49" t="str">
        <x:v>T-004</x:v>
      </x:c>
      <x:c r="B6" s="44" t="str">
        <x:v>タスクAPI</x:v>
      </x:c>
      <x:c r="C6" s="44" t="str">
        <x:v>GET /api/tasks</x:v>
      </x:c>
      <x:c r="D6" s="44" t="str">
        <x:v>include_candidates=false と candidate_status の絞り込み</x:v>
      </x:c>
      <x:c r="E6" s="44" t="str">
        <x:v>タスク画面が候補/確定/却下を正しく分けて表示できることを保証する</x:v>
      </x:c>
      <x:c r="F6" s="49" t="str">
        <x:v>P0</x:v>
      </x:c>
      <x:c r="G6" s="44" t="str">
        <x:v>API integration</x:v>
      </x:c>
      <x:c r="H6" s="44" t="str">
        <x:v>複数statusのTaskをfixture化</x:v>
      </x:c>
      <x:c r="I6" s="37"/>
      <x:c r="J6" s="47" t="str">
        <x:v>P3</x:v>
      </x:c>
      <x:c r="K6" s="47" t="str">
        <x:v>安定後に広げるE2E/詳細UI</x:v>
      </x:c>
    </x:row>
    <x:row r="7" ht="34.5" customHeight="1">
      <x:c r="A7" s="49" t="str">
        <x:v>T-005</x:v>
      </x:c>
      <x:c r="B7" s="44" t="str">
        <x:v>タスクAPI</x:v>
      </x:c>
      <x:c r="C7" s="44" t="str">
        <x:v>POST /api/tasks/{id}/accept</x:v>
      </x:c>
      <x:c r="D7" s="44" t="str">
        <x:v>候補承認で is_candidate=false / candidate_status=accepted になる</x:v>
      </x:c>
      <x:c r="E7" s="44" t="str">
        <x:v>候補を正式タスク化する主要操作の回帰を防ぐ</x:v>
      </x:c>
      <x:c r="F7" s="49" t="str">
        <x:v>P0</x:v>
      </x:c>
      <x:c r="G7" s="44" t="str">
        <x:v>API integration</x:v>
      </x:c>
      <x:c r="H7" s="44" t="str">
        <x:v>SearchService.index_taskは必要ならpatchで呼び出し検証</x:v>
      </x:c>
      <x:c r="I7" s="37"/>
      <x:c r="J7" s="37"/>
      <x:c r="K7" s="37"/>
    </x:row>
    <x:row r="8" ht="34.5" customHeight="1">
      <x:c r="A8" s="49" t="str">
        <x:v>T-006</x:v>
      </x:c>
      <x:c r="B8" s="44" t="str">
        <x:v>タスクAPI</x:v>
      </x:c>
      <x:c r="C8" s="44" t="str">
        <x:v>POST /api/tasks/{id}/dismiss</x:v>
      </x:c>
      <x:c r="D8" s="44" t="str">
        <x:v>候補却下で candidate_status=dismissed になり検索対象から外れる</x:v>
      </x:c>
      <x:c r="E8" s="44" t="str">
        <x:v>却下済みタスクが一覧/検索に残る事故を防ぐ</x:v>
      </x:c>
      <x:c r="F8" s="49" t="str">
        <x:v>P0</x:v>
      </x:c>
      <x:c r="G8" s="44" t="str">
        <x:v>API integration</x:v>
      </x:c>
      <x:c r="H8" s="44" t="str">
        <x:v>index_task後のSearchDocument削除も確認</x:v>
      </x:c>
      <x:c r="I8" s="37"/>
      <x:c r="J8" s="37"/>
      <x:c r="K8" s="37"/>
    </x:row>
    <x:row r="9" ht="34.5" customHeight="1">
      <x:c r="A9" s="49" t="str">
        <x:v>T-007</x:v>
      </x:c>
      <x:c r="B9" s="44" t="str">
        <x:v>タスクAPI</x:v>
      </x:c>
      <x:c r="C9" s="44" t="str">
        <x:v>POST /api/tasks/{id}/accept|dismiss</x:v>
      </x:c>
      <x:c r="D9" s="44" t="str">
        <x:v>不正UUIDは400、存在しないTaskは404</x:v>
      </x:c>
      <x:c r="E9" s="44" t="str">
        <x:v>API利用側がエラーを判別できる契約を固定する</x:v>
      </x:c>
      <x:c r="F9" s="49" t="str">
        <x:v>P1</x:v>
      </x:c>
      <x:c r="G9" s="44" t="str">
        <x:v>API integration</x:v>
      </x:c>
      <x:c r="H9" s="44" t="str">
        <x:v>FastAPI TestClientで検証</x:v>
      </x:c>
      <x:c r="I9" s="37"/>
      <x:c r="J9" s="37"/>
      <x:c r="K9" s="37"/>
    </x:row>
    <x:row r="10" ht="34.5" customHeight="1">
      <x:c r="A10" s="49" t="str">
        <x:v>S-001</x:v>
      </x:c>
      <x:c r="B10" s="44" t="str">
        <x:v>検索</x:v>
      </x:c>
      <x:c r="C10" s="44" t="str">
        <x:v>SearchService.index_interaction</x:v>
      </x:c>
      <x:c r="D10" s="44" t="str">
        <x:v>やり取り保存後にinteraction/person/community/topic文書を作る</x:v>
      </x:c>
      <x:c r="E10" s="44" t="str">
        <x:v>検索インデックスに必要な関連文書が作られることを保証する</x:v>
      </x:c>
      <x:c r="F10" s="49" t="str">
        <x:v>P0</x:v>
      </x:c>
      <x:c r="G10" s="44" t="str">
        <x:v>Service integration</x:v>
      </x:c>
      <x:c r="H10" s="44" t="str">
        <x:v>SearchDocumentを直接確認</x:v>
      </x:c>
      <x:c r="I10" s="37"/>
      <x:c r="J10" s="37"/>
      <x:c r="K10" s="37"/>
    </x:row>
    <x:row r="11" ht="34.5" customHeight="1">
      <x:c r="A11" s="49" t="str">
        <x:v>S-002</x:v>
      </x:c>
      <x:c r="B11" s="44" t="str">
        <x:v>検索</x:v>
      </x:c>
      <x:c r="C11" s="44" t="str">
        <x:v>SearchService.index_interaction</x:v>
      </x:c>
      <x:c r="D11" s="44" t="str">
        <x:v>非表示人物/非表示コミュニティの文書は作られない、既存文書は消える</x:v>
      </x:c>
      <x:c r="E11" s="44" t="str">
        <x:v>非表示データが検索結果へ漏れる回帰を防ぐ</x:v>
      </x:c>
      <x:c r="F11" s="49" t="str">
        <x:v>P0</x:v>
      </x:c>
      <x:c r="G11" s="44" t="str">
        <x:v>Service integration</x:v>
      </x:c>
      <x:c r="H11" s="44" t="str">
        <x:v>hidden切替後に再index</x:v>
      </x:c>
      <x:c r="I11" s="37"/>
      <x:c r="J11" s="37"/>
      <x:c r="K11" s="37"/>
    </x:row>
    <x:row r="12" ht="34.5" customHeight="1">
      <x:c r="A12" s="49" t="str">
        <x:v>S-003</x:v>
      </x:c>
      <x:c r="B12" s="44" t="str">
        <x:v>検索API</x:v>
      </x:c>
      <x:c r="C12" s="44" t="str">
        <x:v>GET /api/search</x:v>
      </x:c>
      <x:c r="D12" s="44" t="str">
        <x:v>target_type の単体/複数指定で結果種別が絞られる</x:v>
      </x:c>
      <x:c r="E12" s="44" t="str">
        <x:v>検索UIのタブ/フィルタが期待通りに動くことを保証する</x:v>
      </x:c>
      <x:c r="F12" s="49" t="str">
        <x:v>P1</x:v>
      </x:c>
      <x:c r="G12" s="44" t="str">
        <x:v>API integration</x:v>
      </x:c>
      <x:c r="H12" s="44" t="str">
        <x:v>person/task/interactionを同時にfixture化</x:v>
      </x:c>
      <x:c r="I12" s="37"/>
      <x:c r="J12" s="37"/>
      <x:c r="K12" s="37"/>
    </x:row>
    <x:row r="13" ht="34.5" customHeight="1">
      <x:c r="A13" s="49" t="str">
        <x:v>S-004</x:v>
      </x:c>
      <x:c r="B13" s="44" t="str">
        <x:v>検索</x:v>
      </x:c>
      <x:c r="C13" s="44" t="str">
        <x:v>SearchService.rebuild_account_index</x:v>
      </x:c>
      <x:c r="D13" s="44" t="str">
        <x:v>people/communities/topics/interactions/tasks/calendar_events の件数と文書作成</x:v>
      </x:c>
      <x:c r="E13" s="44" t="str">
        <x:v>再構築スクリプトの信頼性を担保する</x:v>
      </x:c>
      <x:c r="F13" s="49" t="str">
        <x:v>P0</x:v>
      </x:c>
      <x:c r="G13" s="44" t="str">
        <x:v>Service integration</x:v>
      </x:c>
      <x:c r="H13" s="44" t="str">
        <x:v>戻り値とSearchDocument数を照合</x:v>
      </x:c>
      <x:c r="I13" s="37"/>
      <x:c r="J13" s="37"/>
      <x:c r="K13" s="37"/>
    </x:row>
    <x:row r="14" ht="34.5" customHeight="1">
      <x:c r="A14" s="49" t="str">
        <x:v>S-005</x:v>
      </x:c>
      <x:c r="B14" s="44" t="str">
        <x:v>検索</x:v>
      </x:c>
      <x:c r="C14" s="44" t="str">
        <x:v>SearchService.search</x:v>
      </x:c>
      <x:c r="D14" s="44" t="str">
        <x:v>空白クエリでは空レスポンスを返す</x:v>
      </x:c>
      <x:c r="E14" s="44" t="str">
        <x:v>サービス層を直接呼んだ時の防御動作を固定する</x:v>
      </x:c>
      <x:c r="F14" s="49" t="str">
        <x:v>P2</x:v>
      </x:c>
      <x:c r="G14" s="44" t="str">
        <x:v>Unit</x:v>
      </x:c>
      <x:c r="H14" s="44" t="str">
        <x:v>APIはQuery min_length=1のためservice単体</x:v>
      </x:c>
      <x:c r="I14" s="37"/>
      <x:c r="J14" s="37"/>
      <x:c r="K14" s="37"/>
    </x:row>
    <x:row r="15" ht="34.5" customHeight="1">
      <x:c r="A15" s="49" t="str">
        <x:v>S-006</x:v>
      </x:c>
      <x:c r="B15" s="44" t="str">
        <x:v>検索</x:v>
      </x:c>
      <x:c r="C15" s="44" t="str">
        <x:v>SearchService.index_task/search</x:v>
      </x:c>
      <x:c r="D15" s="44" t="str">
        <x:v>dismissedタスクは検索対象から外れる</x:v>
      </x:c>
      <x:c r="E15" s="44" t="str">
        <x:v>タスク却下後の検索ノイズを防ぐ</x:v>
      </x:c>
      <x:c r="F15" s="49" t="str">
        <x:v>P0</x:v>
      </x:c>
      <x:c r="G15" s="44" t="str">
        <x:v>Service integration</x:v>
      </x:c>
      <x:c r="H15" s="44" t="str">
        <x:v>T-006と連携してもよい</x:v>
      </x:c>
      <x:c r="I15" s="37"/>
      <x:c r="J15" s="37"/>
      <x:c r="K15" s="37"/>
    </x:row>
    <x:row r="16" ht="34.5" customHeight="1">
      <x:c r="A16" s="49" t="str">
        <x:v>S-007</x:v>
      </x:c>
      <x:c r="B16" s="44" t="str">
        <x:v>検索回答</x:v>
      </x:c>
      <x:c r="C16" s="44" t="str">
        <x:v>build_rag_answer</x:v>
      </x:c>
      <x:c r="D16" s="44" t="str">
        <x:v>人物候補のconfidence/evidence/follow_up_queriesを組み立てる</x:v>
      </x:c>
      <x:c r="E16" s="44" t="str">
        <x:v>検索回答の決定的ロジックを小さく固定する</x:v>
      </x:c>
      <x:c r="F16" s="49" t="str">
        <x:v>P2</x:v>
      </x:c>
      <x:c r="G16" s="44" t="str">
        <x:v>Unit</x:v>
      </x:c>
      <x:c r="H16" s="44" t="str">
        <x:v>DB不要の辞書fixtureで検証</x:v>
      </x:c>
      <x:c r="I16" s="37"/>
      <x:c r="J16" s="37"/>
      <x:c r="K16" s="37"/>
    </x:row>
    <x:row r="17" ht="34.5" customHeight="1">
      <x:c r="A17" s="49" t="str">
        <x:v>C-001</x:v>
      </x:c>
      <x:c r="B17" s="44" t="str">
        <x:v>カレンダーAPI</x:v>
      </x:c>
      <x:c r="C17" s="44" t="str">
        <x:v>POST /api/calendar-events</x:v>
      </x:c>
      <x:c r="D17" s="44" t="str">
        <x:v>人物参加者と表示名のみ参加者を含む予定を作成できる</x:v>
      </x:c>
      <x:c r="E17" s="44" t="str">
        <x:v>予定と参加者の保存/シリアライズ契約を固定する</x:v>
      </x:c>
      <x:c r="F17" s="49" t="str">
        <x:v>P0</x:v>
      </x:c>
      <x:c r="G17" s="44" t="str">
        <x:v>API integration</x:v>
      </x:c>
      <x:c r="H17" s="44" t="str">
        <x:v>person_idあり/なしのparticipantを混在</x:v>
      </x:c>
      <x:c r="I17" s="37"/>
      <x:c r="J17" s="37"/>
      <x:c r="K17" s="37"/>
    </x:row>
    <x:row r="18" ht="34.5" customHeight="1">
      <x:c r="A18" s="49" t="str">
        <x:v>C-002</x:v>
      </x:c>
      <x:c r="B18" s="44" t="str">
        <x:v>カレンダーAPI</x:v>
      </x:c>
      <x:c r="C18" s="44" t="str">
        <x:v>POST /api/calendar-events</x:v>
      </x:c>
      <x:c r="D18" s="44" t="str">
        <x:v>end_at &lt; start_at は400</x:v>
      </x:c>
      <x:c r="E18" s="44" t="str">
        <x:v>不正な予定データの保存を防ぐ</x:v>
      </x:c>
      <x:c r="F18" s="49" t="str">
        <x:v>P0</x:v>
      </x:c>
      <x:c r="G18" s="44" t="str">
        <x:v>API integration</x:v>
      </x:c>
      <x:c r="H18" s="44" t="str">
        <x:v>境界条件として同時刻も仕様確認</x:v>
      </x:c>
      <x:c r="I18" s="37"/>
      <x:c r="J18" s="37"/>
      <x:c r="K18" s="37"/>
    </x:row>
    <x:row r="19" ht="34.5" customHeight="1">
      <x:c r="A19" s="49" t="str">
        <x:v>C-003</x:v>
      </x:c>
      <x:c r="B19" s="44" t="str">
        <x:v>カレンダーAPI</x:v>
      </x:c>
      <x:c r="C19" s="44" t="str">
        <x:v>POST /api/calendar-events</x:v>
      </x:c>
      <x:c r="D19" s="44" t="str">
        <x:v>存在しない/非表示人物のparticipantは404</x:v>
      </x:c>
      <x:c r="E19" s="44" t="str">
        <x:v>非表示人物や別アカウント人物の参照漏れを防ぐ</x:v>
      </x:c>
      <x:c r="F19" s="49" t="str">
        <x:v>P1</x:v>
      </x:c>
      <x:c r="G19" s="44" t="str">
        <x:v>API integration</x:v>
      </x:c>
      <x:c r="H19" s="44" t="str">
        <x:v>hidden person fixture</x:v>
      </x:c>
      <x:c r="I19" s="37"/>
      <x:c r="J19" s="37"/>
      <x:c r="K19" s="37"/>
    </x:row>
    <x:row r="20" ht="34.5" customHeight="1">
      <x:c r="A20" s="49" t="str">
        <x:v>C-004</x:v>
      </x:c>
      <x:c r="B20" s="44" t="str">
        <x:v>カレンダーAPI</x:v>
      </x:c>
      <x:c r="C20" s="44" t="str">
        <x:v>GET /api/calendar-events</x:v>
      </x:c>
      <x:c r="D20" s="44" t="str">
        <x:v>start_at降順とlimitが効く</x:v>
      </x:c>
      <x:c r="E20" s="44" t="str">
        <x:v>予定一覧の表示順と件数制御を保証する</x:v>
      </x:c>
      <x:c r="F20" s="49" t="str">
        <x:v>P1</x:v>
      </x:c>
      <x:c r="G20" s="44" t="str">
        <x:v>API integration</x:v>
      </x:c>
      <x:c r="H20" s="44" t="str">
        <x:v>複数予定を異なる日時で作成</x:v>
      </x:c>
      <x:c r="I20" s="37"/>
      <x:c r="J20" s="37"/>
      <x:c r="K20" s="37"/>
    </x:row>
    <x:row r="21" ht="34.5" customHeight="1">
      <x:c r="A21" s="49" t="str">
        <x:v>C-005</x:v>
      </x:c>
      <x:c r="B21" s="44" t="str">
        <x:v>カレンダー検索</x:v>
      </x:c>
      <x:c r="C21" s="44" t="str">
        <x:v>CalendarService.create_event</x:v>
      </x:c>
      <x:c r="D21" s="44" t="str">
        <x:v>作成後にSearchService.index_calendar_eventが呼ばれ検索できる</x:v>
      </x:c>
      <x:c r="E21" s="44" t="str">
        <x:v>予定がメモリ検索に含まれることを保証する</x:v>
      </x:c>
      <x:c r="F21" s="49" t="str">
        <x:v>P0</x:v>
      </x:c>
      <x:c r="G21" s="44" t="str">
        <x:v>Service/API integration</x:v>
      </x:c>
      <x:c r="H21" s="44" t="str">
        <x:v>SearchDocumentまたは検索結果で確認</x:v>
      </x:c>
      <x:c r="I21" s="37"/>
      <x:c r="J21" s="37"/>
      <x:c r="K21" s="37"/>
    </x:row>
    <x:row r="22" ht="34.5" customHeight="1">
      <x:c r="A22" s="49" t="str">
        <x:v>R-001</x:v>
      </x:c>
      <x:c r="B22" s="44" t="str">
        <x:v>参照データ</x:v>
      </x:c>
      <x:c r="C22" s="44" t="str">
        <x:v>POST /api/persons</x:v>
      </x:c>
      <x:c r="D22" s="44" t="str">
        <x:v>primary_community_id が存在しない/hiddenなら404</x:v>
      </x:c>
      <x:c r="E22" s="44" t="str">
        <x:v>人物が無効な所属を持たないことを保証する</x:v>
      </x:c>
      <x:c r="F22" s="49" t="str">
        <x:v>P0</x:v>
      </x:c>
      <x:c r="G22" s="44" t="str">
        <x:v>API integration</x:v>
      </x:c>
      <x:c r="H22" s="44" t="str">
        <x:v>hidden community fixture</x:v>
      </x:c>
      <x:c r="I22" s="37"/>
      <x:c r="J22" s="37"/>
      <x:c r="K22" s="37"/>
    </x:row>
    <x:row r="23" ht="34.5" customHeight="1">
      <x:c r="A23" s="49" t="str">
        <x:v>R-002</x:v>
      </x:c>
      <x:c r="B23" s="44" t="str">
        <x:v>参照データ</x:v>
      </x:c>
      <x:c r="C23" s="44" t="str">
        <x:v>POST /api/persons</x:v>
      </x:c>
      <x:c r="D23" s="44" t="str">
        <x:v>canonical_name重複時のエラー仕様を固定する</x:v>
      </x:c>
      <x:c r="E23" s="44" t="str">
        <x:v>DB IntegrityErrorが500として漏れるリスクを検出する</x:v>
      </x:c>
      <x:c r="F23" s="49" t="str">
        <x:v>P1</x:v>
      </x:c>
      <x:c r="G23" s="44" t="str">
        <x:v>API integration</x:v>
      </x:c>
      <x:c r="H23" s="44" t="str">
        <x:v>期待は409に寄せるのが自然</x:v>
      </x:c>
      <x:c r="I23" s="37"/>
      <x:c r="J23" s="37"/>
      <x:c r="K23" s="37"/>
    </x:row>
    <x:row r="24" ht="34.5" customHeight="1">
      <x:c r="A24" s="49" t="str">
        <x:v>R-003</x:v>
      </x:c>
      <x:c r="B24" s="44" t="str">
        <x:v>参照データ</x:v>
      </x:c>
      <x:c r="C24" s="44" t="str">
        <x:v>POST /api/communities</x:v>
      </x:c>
      <x:c r="D24" s="44" t="str">
        <x:v>空白名は400</x:v>
      </x:c>
      <x:c r="E24" s="44" t="str">
        <x:v>管理画面から空のコミュニティが作られないことを保証する</x:v>
      </x:c>
      <x:c r="F24" s="49" t="str">
        <x:v>P0</x:v>
      </x:c>
      <x:c r="G24" s="44" t="str">
        <x:v>API integration</x:v>
      </x:c>
      <x:c r="H24" s="44" t="str">
        <x:v>name='   '</x:v>
      </x:c>
      <x:c r="I24" s="37"/>
      <x:c r="J24" s="37"/>
      <x:c r="K24" s="37"/>
    </x:row>
    <x:row r="25" ht="34.5" customHeight="1">
      <x:c r="A25" s="49" t="str">
        <x:v>R-004</x:v>
      </x:c>
      <x:c r="B25" s="44" t="str">
        <x:v>参照データ</x:v>
      </x:c>
      <x:c r="C25" s="44" t="str">
        <x:v>POST /api/communities</x:v>
      </x:c>
      <x:c r="D25" s="44" t="str">
        <x:v>同名コミュニティは別親なら作成できる</x:v>
      </x:c>
      <x:c r="E25" s="44" t="str">
        <x:v>兄弟内だけ重複拒否する仕様を固定する</x:v>
      </x:c>
      <x:c r="F25" s="49" t="str">
        <x:v>P1</x:v>
      </x:c>
      <x:c r="G25" s="44" t="str">
        <x:v>API integration</x:v>
      </x:c>
      <x:c r="H25" s="44" t="str">
        <x:v>root A/root B配下に同名child</x:v>
      </x:c>
      <x:c r="I25" s="37"/>
      <x:c r="J25" s="37"/>
      <x:c r="K25" s="37"/>
    </x:row>
    <x:row r="26" ht="34.5" customHeight="1">
      <x:c r="A26" s="49" t="str">
        <x:v>R-005</x:v>
      </x:c>
      <x:c r="B26" s="44" t="str">
        <x:v>参照データ</x:v>
      </x:c>
      <x:c r="C26" s="44" t="str">
        <x:v>POST /api/communities</x:v>
      </x:c>
      <x:c r="D26" s="44" t="str">
        <x:v>hidden親の配下には作成できない</x:v>
      </x:c>
      <x:c r="E26" s="44" t="str">
        <x:v>非表示階層への新規データ混入を防ぐ</x:v>
      </x:c>
      <x:c r="F26" s="49" t="str">
        <x:v>P1</x:v>
      </x:c>
      <x:c r="G26" s="44" t="str">
        <x:v>API integration</x:v>
      </x:c>
      <x:c r="H26" s="44" t="str">
        <x:v>親をpatchでhidden化してから作成</x:v>
      </x:c>
      <x:c r="I26" s="37"/>
      <x:c r="J26" s="37"/>
      <x:c r="K26" s="37"/>
    </x:row>
    <x:row r="27" ht="34.5" customHeight="1">
      <x:c r="A27" s="49" t="str">
        <x:v>R-006</x:v>
      </x:c>
      <x:c r="B27" s="44" t="str">
        <x:v>参照データ</x:v>
      </x:c>
      <x:c r="C27" s="44" t="str">
        <x:v>GET /api/communities|persons</x:v>
      </x:c>
      <x:c r="D27" s="44" t="str">
        <x:v>hidden祖先があるpathのinclude_hidden true/false差分</x:v>
      </x:c>
      <x:c r="E27" s="44" t="str">
        <x:v>管理画面と通常画面のパス表示差分を固定する</x:v>
      </x:c>
      <x:c r="F27" s="49" t="str">
        <x:v>P1</x:v>
      </x:c>
      <x:c r="G27" s="44" t="str">
        <x:v>API integration</x:v>
      </x:c>
      <x:c r="H27" s="44" t="str">
        <x:v>親子階層を3段用意</x:v>
      </x:c>
      <x:c r="I27" s="37"/>
      <x:c r="J27" s="37"/>
      <x:c r="K27" s="37"/>
    </x:row>
    <x:row r="28" ht="34.5" customHeight="1">
      <x:c r="A28" s="49" t="str">
        <x:v>R-007</x:v>
      </x:c>
      <x:c r="B28" s="44" t="str">
        <x:v>参照データ</x:v>
      </x:c>
      <x:c r="C28" s="44" t="str">
        <x:v>POST /api/topics</x:v>
      </x:c>
      <x:c r="D28" s="44" t="str">
        <x:v>不正/存在しない親topicは400/404、pathが親子順</x:v>
      </x:c>
      <x:c r="E28" s="44" t="str">
        <x:v>トピック階層の参照整合性を保証する</x:v>
      </x:c>
      <x:c r="F28" s="49" t="str">
        <x:v>P2</x:v>
      </x:c>
      <x:c r="G28" s="44" t="str">
        <x:v>API integration</x:v>
      </x:c>
      <x:c r="H28" s="44" t="str">
        <x:v>TopicService pathも確認</x:v>
      </x:c>
      <x:c r="I28" s="37"/>
      <x:c r="J28" s="37"/>
      <x:c r="K28" s="37"/>
    </x:row>
    <x:row r="29" ht="34.5" customHeight="1">
      <x:c r="A29" s="49" t="str">
        <x:v>I-001</x:v>
      </x:c>
      <x:c r="B29" s="44" t="str">
        <x:v>やり取りAPI</x:v>
      </x:c>
      <x:c r="C29" s="44" t="str">
        <x:v>POST /api/interactions</x:v>
      </x:c>
      <x:c r="D29" s="44" t="str">
        <x:v>不正/存在しない/hidden人物は400/404</x:v>
      </x:c>
      <x:c r="E29" s="44" t="str">
        <x:v>非表示人物への記録や不正IDを防ぐ</x:v>
      </x:c>
      <x:c r="F29" s="49" t="str">
        <x:v>P0</x:v>
      </x:c>
      <x:c r="G29" s="44" t="str">
        <x:v>API integration</x:v>
      </x:c>
      <x:c r="H29" s="44" t="str">
        <x:v>record/list両方で確認</x:v>
      </x:c>
      <x:c r="I29" s="37"/>
      <x:c r="J29" s="37"/>
      <x:c r="K29" s="37"/>
    </x:row>
    <x:row r="30" ht="34.5" customHeight="1">
      <x:c r="A30" s="49" t="str">
        <x:v>I-002</x:v>
      </x:c>
      <x:c r="B30" s="44" t="str">
        <x:v>やり取りAPI</x:v>
      </x:c>
      <x:c r="C30" s="44" t="str">
        <x:v>POST /api/interactions</x:v>
      </x:c>
      <x:c r="D30" s="44" t="str">
        <x:v>不正/存在しない/hiddenコミュニティ・トピック参照を拒否</x:v>
      </x:c>
      <x:c r="E30" s="44" t="str">
        <x:v>参照整合性の崩れを防ぐ</x:v>
      </x:c>
      <x:c r="F30" s="49" t="str">
        <x:v>P0</x:v>
      </x:c>
      <x:c r="G30" s="44" t="str">
        <x:v>API integration</x:v>
      </x:c>
      <x:c r="H30" s="44" t="str">
        <x:v>community/topic別々に確認</x:v>
      </x:c>
      <x:c r="I30" s="37"/>
      <x:c r="J30" s="37"/>
      <x:c r="K30" s="37"/>
    </x:row>
    <x:row r="31" ht="34.5" customHeight="1">
      <x:c r="A31" s="49" t="str">
        <x:v>I-003</x:v>
      </x:c>
      <x:c r="B31" s="44" t="str">
        <x:v>やり取りAPI</x:v>
      </x:c>
      <x:c r="C31" s="44" t="str">
        <x:v>POST /api/interactions</x:v>
      </x:c>
      <x:c r="D31" s="44" t="str">
        <x:v>未対応interaction_type/share_levelは400</x:v>
      </x:c>
      <x:c r="E31" s="44" t="str">
        <x:v>入力値の正規化契約を固定する</x:v>
      </x:c>
      <x:c r="F31" s="49" t="str">
        <x:v>P0</x:v>
      </x:c>
      <x:c r="G31" s="44" t="str">
        <x:v>API integration</x:v>
      </x:c>
      <x:c r="H31" s="44" t="str">
        <x:v>aliasの正常系とは分ける</x:v>
      </x:c>
      <x:c r="I31" s="37"/>
      <x:c r="J31" s="37"/>
      <x:c r="K31" s="37"/>
    </x:row>
    <x:row r="32" ht="34.5" customHeight="1">
      <x:c r="A32" s="49" t="str">
        <x:v>I-004</x:v>
      </x:c>
      <x:c r="B32" s="44" t="str">
        <x:v>やり取りAPI</x:v>
      </x:c>
      <x:c r="C32" s="44" t="str">
        <x:v>GET /api/interactions</x:v>
      </x:c>
      <x:c r="D32" s="44" t="str">
        <x:v>date_from/date_toで期間絞り込み</x:v>
      </x:c>
      <x:c r="E32" s="44" t="str">
        <x:v>履歴検索の期間フィルタ回帰を防ぐ</x:v>
      </x:c>
      <x:c r="F32" s="49" t="str">
        <x:v>P1</x:v>
      </x:c>
      <x:c r="G32" s="44" t="str">
        <x:v>API integration</x:v>
      </x:c>
      <x:c r="H32" s="44" t="str">
        <x:v>境界日時を含む/含まないを確認</x:v>
      </x:c>
      <x:c r="I32" s="37"/>
      <x:c r="J32" s="37"/>
      <x:c r="K32" s="37"/>
    </x:row>
    <x:row r="33" ht="34.5" customHeight="1">
      <x:c r="A33" s="49" t="str">
        <x:v>I-005</x:v>
      </x:c>
      <x:c r="B33" s="44" t="str">
        <x:v>やり取りAPI</x:v>
      </x:c>
      <x:c r="C33" s="44" t="str">
        <x:v>GET /api/interactions</x:v>
      </x:c>
      <x:c r="D33" s="44" t="str">
        <x:v>occurred_at desc、同値ならcreated_at desc</x:v>
      </x:c>
      <x:c r="E33" s="44" t="str">
        <x:v>履歴とダッシュボードの新着順を固定する</x:v>
      </x:c>
      <x:c r="F33" s="49" t="str">
        <x:v>P1</x:v>
      </x:c>
      <x:c r="G33" s="44" t="str">
        <x:v>API integration</x:v>
      </x:c>
      <x:c r="H33" s="44" t="str">
        <x:v>日時を制御した複数record</x:v>
      </x:c>
      <x:c r="I33" s="37"/>
      <x:c r="J33" s="37"/>
      <x:c r="K33" s="37"/>
    </x:row>
    <x:row r="34" ht="34.5" customHeight="1">
      <x:c r="A34" s="49" t="str">
        <x:v>I-006</x:v>
      </x:c>
      <x:c r="B34" s="44" t="str">
        <x:v>やり取りAPI</x:v>
      </x:c>
      <x:c r="C34" s="44" t="str">
        <x:v>POST /api/interactions</x:v>
      </x:c>
      <x:c r="D34" s="44" t="str">
        <x:v>CALL/CHAT/OBSERVATIONなどaliasが正規化される</x:v>
      </x:c>
      <x:c r="E34" s="44" t="str">
        <x:v>旧UIや入力揺れを受け入れる仕様を固定する</x:v>
      </x:c>
      <x:c r="F34" s="49" t="str">
        <x:v>P2</x:v>
      </x:c>
      <x:c r="G34" s="44" t="str">
        <x:v>API integration</x:v>
      </x:c>
      <x:c r="H34" s="44" t="str">
        <x:v>serialize後のinteraction_typeを確認</x:v>
      </x:c>
      <x:c r="I34" s="37"/>
      <x:c r="J34" s="37"/>
      <x:c r="K34" s="37"/>
    </x:row>
    <x:row r="35" ht="34.5" customHeight="1">
      <x:c r="A35" s="49" t="str">
        <x:v>I-007</x:v>
      </x:c>
      <x:c r="B35" s="44" t="str">
        <x:v>人物ダッシュボード</x:v>
      </x:c>
      <x:c r="C35" s="44" t="str">
        <x:v>GET /api/persons/{id}/dashboard</x:v>
      </x:c>
      <x:c r="D35" s="44" t="str">
        <x:v>share_summary/top_topics/top_communities/recent_notesの集計</x:v>
      </x:c>
      <x:c r="E35" s="44" t="str">
        <x:v>会話準備画面の根幹データを保証する</x:v>
      </x:c>
      <x:c r="F35" s="49" t="str">
        <x:v>P1</x:v>
      </x:c>
      <x:c r="G35" s="44" t="str">
        <x:v>API integration</x:v>
      </x:c>
      <x:c r="H35" s="44" t="str">
        <x:v>SHARED/PARTIAL/WITHHELDを混在</x:v>
      </x:c>
      <x:c r="I35" s="37"/>
      <x:c r="J35" s="37"/>
      <x:c r="K35" s="37"/>
    </x:row>
    <x:row r="36" ht="34.5" customHeight="1">
      <x:c r="A36" s="49" t="str">
        <x:v>I-008</x:v>
      </x:c>
      <x:c r="B36" s="44" t="str">
        <x:v>概要API</x:v>
      </x:c>
      <x:c r="C36" s="44" t="str">
        <x:v>GET /api/interactions/overview</x:v>
      </x:c>
      <x:c r="D36" s="44" t="str">
        <x:v>hidden人物を除外しrecent_limit/person_limitが効く</x:v>
      </x:c>
      <x:c r="E36" s="44" t="str">
        <x:v>ホーム概要の表示漏れ/過剰表示を防ぐ</x:v>
      </x:c>
      <x:c r="F36" s="49" t="str">
        <x:v>P1</x:v>
      </x:c>
      <x:c r="G36" s="44" t="str">
        <x:v>API integration</x:v>
      </x:c>
      <x:c r="H36" s="44" t="str">
        <x:v>hidden person fixture</x:v>
      </x:c>
      <x:c r="I36" s="37"/>
      <x:c r="J36" s="37"/>
      <x:c r="K36" s="37"/>
    </x:row>
    <x:row r="37" ht="34.5" customHeight="1">
      <x:c r="A37" s="49" t="str">
        <x:v>M-001</x:v>
      </x:c>
      <x:c r="B37" s="44" t="str">
        <x:v>リマインダーAPI</x:v>
      </x:c>
      <x:c r="C37" s="44" t="str">
        <x:v>POST /api/reminders</x:v>
      </x:c>
      <x:c r="D37" s="44" t="str">
        <x:v>ISO日時/Z付き日時とmessageあり/なしで作成できる</x:v>
      </x:c>
      <x:c r="E37" s="44" t="str">
        <x:v>リマインダー作成の基本契約を固定する</x:v>
      </x:c>
      <x:c r="F37" s="49" t="str">
        <x:v>P1</x:v>
      </x:c>
      <x:c r="G37" s="44" t="str">
        <x:v>API integration</x:v>
      </x:c>
      <x:c r="H37" s="44" t="str">
        <x:v>DB上のremind_at/messageも確認</x:v>
      </x:c>
      <x:c r="I37" s="37"/>
      <x:c r="J37" s="37"/>
      <x:c r="K37" s="37"/>
    </x:row>
    <x:row r="38" ht="34.5" customHeight="1">
      <x:c r="A38" s="49" t="str">
        <x:v>M-002</x:v>
      </x:c>
      <x:c r="B38" s="44" t="str">
        <x:v>リマインダーAPI</x:v>
      </x:c>
      <x:c r="C38" s="44" t="str">
        <x:v>POST /api/reminders</x:v>
      </x:c>
      <x:c r="D38" s="44" t="str">
        <x:v>無効なremind_atは400または422で返す</x:v>
      </x:c>
      <x:c r="E38" s="44" t="str">
        <x:v>ValueErrorが500として漏れるリスクを検出する</x:v>
      </x:c>
      <x:c r="F38" s="49" t="str">
        <x:v>P1</x:v>
      </x:c>
      <x:c r="G38" s="44" t="str">
        <x:v>API integration</x:v>
      </x:c>
      <x:c r="H38" s="44" t="str">
        <x:v>期待仕様を決めて実装修正込み</x:v>
      </x:c>
      <x:c r="I38" s="37"/>
      <x:c r="J38" s="37"/>
      <x:c r="K38" s="37"/>
    </x:row>
    <x:row r="39" ht="34.5" customHeight="1">
      <x:c r="A39" s="49" t="str">
        <x:v>A-001</x:v>
      </x:c>
      <x:c r="B39" s="44" t="str">
        <x:v>アカウント分離</x:v>
      </x:c>
      <x:c r="C39" s="44" t="str">
        <x:v>get_current_account_id + 各Service</x:v>
      </x:c>
      <x:c r="D39" s="44" t="str">
        <x:v>別account_idのデータが一覧/検索/参照で混ざらない</x:v>
      </x:c>
      <x:c r="E39" s="44" t="str">
        <x:v>将来のマルチアカウント化で最重要のデータ分離を保証する</x:v>
      </x:c>
      <x:c r="F39" s="49" t="str">
        <x:v>P1</x:v>
      </x:c>
      <x:c r="G39" s="44" t="str">
        <x:v>Service/API integration</x:v>
      </x:c>
      <x:c r="H39" s="44" t="str">
        <x:v>account_contextをpatchして2アカウント分fixture化</x:v>
      </x:c>
      <x:c r="I39" s="37"/>
      <x:c r="J39" s="37"/>
      <x:c r="K39" s="37"/>
    </x:row>
    <x:row r="40" ht="34.5" customHeight="1">
      <x:c r="A40" s="49" t="str">
        <x:v>A-002</x:v>
      </x:c>
      <x:c r="B40" s="44" t="str">
        <x:v>テスト基盤</x:v>
      </x:c>
      <x:c r="C40" s="44" t="str">
        <x:v>DB/TestClient lifecycle</x:v>
      </x:c>
      <x:c r="D40" s="44" t="str">
        <x:v>テスト実行後にpsycopg未クローズ接続warningが出ない</x:v>
      </x:c>
      <x:c r="E40" s="44" t="str">
        <x:v>テスト信頼性とCIログ品質を上げる</x:v>
      </x:c>
      <x:c r="F40" s="49" t="str">
        <x:v>P2</x:v>
      </x:c>
      <x:c r="G40" s="44" t="str">
        <x:v>Test infrastructure</x:v>
      </x:c>
      <x:c r="H40" s="44" t="str">
        <x:v>現状ResourceWarningあり</x:v>
      </x:c>
      <x:c r="I40" s="37"/>
      <x:c r="J40" s="37"/>
      <x:c r="K40" s="37"/>
    </x:row>
    <x:row r="41" ht="34.5" customHeight="1">
      <x:c r="A41" s="49" t="str">
        <x:v>A-003</x:v>
      </x:c>
      <x:c r="B41" s="44" t="str">
        <x:v>テスト基盤</x:v>
      </x:c>
      <x:c r="C41" s="44" t="str">
        <x:v>fixtures/cleanup</x:v>
      </x:c>
      <x:c r="D41" s="44" t="str">
        <x:v>prefix依存cleanupを共通fixture化する</x:v>
      </x:c>
      <x:c r="E41" s="44" t="str">
        <x:v>テスト追加時の重複とデータ残りを減らす</x:v>
      </x:c>
      <x:c r="F41" s="49" t="str">
        <x:v>P2</x:v>
      </x:c>
      <x:c r="G41" s="44" t="str">
        <x:v>Test infrastructure</x:v>
      </x:c>
      <x:c r="H41" s="44" t="str">
        <x:v>unittestのsetUp/tearDownまたはhelper</x:v>
      </x:c>
      <x:c r="I41" s="37"/>
      <x:c r="J41" s="37"/>
      <x:c r="K41" s="37"/>
    </x:row>
    <x:row r="42" ht="34.5" customHeight="1">
      <x:c r="A42" s="49" t="str">
        <x:v>F-001</x:v>
      </x:c>
      <x:c r="B42" s="44" t="str">
        <x:v>フロントエンド</x:v>
      </x:c>
      <x:c r="C42" s="44" t="str">
        <x:v>テスト基盤</x:v>
      </x:c>
      <x:c r="D42" s="44" t="str">
        <x:v>Vitest + React Testing Libraryを導入する</x:v>
      </x:c>
      <x:c r="E42" s="44" t="str">
        <x:v>UIロジックの自動テストを追加できる状態にする</x:v>
      </x:c>
      <x:c r="F42" s="49" t="str">
        <x:v>P2</x:v>
      </x:c>
      <x:c r="G42" s="44" t="str">
        <x:v>Frontend setup</x:v>
      </x:c>
      <x:c r="H42" s="44" t="str">
        <x:v>現状frontendにテスト設定なし</x:v>
      </x:c>
      <x:c r="I42" s="37"/>
      <x:c r="J42" s="37"/>
      <x:c r="K42" s="37"/>
    </x:row>
    <x:row r="43" ht="34.5" customHeight="1">
      <x:c r="A43" s="49" t="str">
        <x:v>F-002</x:v>
      </x:c>
      <x:c r="B43" s="44" t="str">
        <x:v>フロントエンド</x:v>
      </x:c>
      <x:c r="C43" s="44" t="str">
        <x:v>interactionsApi</x:v>
      </x:c>
      <x:c r="D43" s="44" t="str">
        <x:v>APIリクエスト/レスポンス整形をテストする</x:v>
      </x:c>
      <x:c r="E43" s="44" t="str">
        <x:v>画面側がAPI契約変更に気づけるようにする</x:v>
      </x:c>
      <x:c r="F43" s="49" t="str">
        <x:v>P2</x:v>
      </x:c>
      <x:c r="G43" s="44" t="str">
        <x:v>Frontend unit</x:v>
      </x:c>
      <x:c r="H43" s="44" t="str">
        <x:v>fetch mock</x:v>
      </x:c>
      <x:c r="I43" s="37"/>
      <x:c r="J43" s="37"/>
      <x:c r="K43" s="37"/>
    </x:row>
    <x:row r="44" ht="34.5" customHeight="1">
      <x:c r="A44" s="49" t="str">
        <x:v>F-003</x:v>
      </x:c>
      <x:c r="B44" s="44" t="str">
        <x:v>フロントエンド</x:v>
      </x:c>
      <x:c r="C44" s="44" t="str">
        <x:v>RecordPage</x:v>
      </x:c>
      <x:c r="D44" s="44" t="str">
        <x:v>必須入力・送信payload・送信後状態をテストする</x:v>
      </x:c>
      <x:c r="E44" s="44" t="str">
        <x:v>記録フォームの主要導線を保護する</x:v>
      </x:c>
      <x:c r="F44" s="49" t="str">
        <x:v>P2</x:v>
      </x:c>
      <x:c r="G44" s="44" t="str">
        <x:v>Frontend component</x:v>
      </x:c>
      <x:c r="H44" s="44" t="str">
        <x:v>人物/コミュニティ/トピック選択をmock</x:v>
      </x:c>
      <x:c r="I44" s="37"/>
      <x:c r="J44" s="37"/>
      <x:c r="K44" s="37"/>
    </x:row>
    <x:row r="45" ht="34.5" customHeight="1">
      <x:c r="A45" s="49" t="str">
        <x:v>F-004</x:v>
      </x:c>
      <x:c r="B45" s="44" t="str">
        <x:v>フロントエンド</x:v>
      </x:c>
      <x:c r="C45" s="44" t="str">
        <x:v>TaskPage</x:v>
      </x:c>
      <x:c r="D45" s="44" t="str">
        <x:v>候補のaccept/dismiss操作と一覧更新をテストする</x:v>
      </x:c>
      <x:c r="E45" s="44" t="str">
        <x:v>タスク候補ワークフローのUI回帰を防ぐ</x:v>
      </x:c>
      <x:c r="F45" s="49" t="str">
        <x:v>P2</x:v>
      </x:c>
      <x:c r="G45" s="44" t="str">
        <x:v>Frontend component</x:v>
      </x:c>
      <x:c r="H45" s="44" t="str">
        <x:v>API mock</x:v>
      </x:c>
      <x:c r="I45" s="37"/>
      <x:c r="J45" s="37"/>
      <x:c r="K45" s="37"/>
    </x:row>
    <x:row r="46" ht="34.5" customHeight="1">
      <x:c r="A46" s="49" t="str">
        <x:v>F-005</x:v>
      </x:c>
      <x:c r="B46" s="44" t="str">
        <x:v>フロントエンド</x:v>
      </x:c>
      <x:c r="C46" s="44" t="str">
        <x:v>PersonPage/usePersonExplorer</x:v>
      </x:c>
      <x:c r="D46" s="44" t="str">
        <x:v>コミュニティ絞り込みと件数表示をテストする</x:v>
      </x:c>
      <x:c r="E46" s="44" t="str">
        <x:v>人物探索UIの表示ズレを防ぐ</x:v>
      </x:c>
      <x:c r="F46" s="49" t="str">
        <x:v>P3</x:v>
      </x:c>
      <x:c r="G46" s="44" t="str">
        <x:v>Frontend unit/component</x:v>
      </x:c>
      <x:c r="H46" s="44" t="str">
        <x:v>hookまたは画面単位</x:v>
      </x:c>
      <x:c r="I46" s="37"/>
      <x:c r="J46" s="37"/>
      <x:c r="K46" s="37"/>
    </x:row>
    <x:row r="47" ht="34.5" customHeight="1">
      <x:c r="A47" s="49" t="str">
        <x:v>F-006</x:v>
      </x:c>
      <x:c r="B47" s="44" t="str">
        <x:v>フロントエンド</x:v>
      </x:c>
      <x:c r="C47" s="44" t="str">
        <x:v>HistoryPage/SearchPage</x:v>
      </x:c>
      <x:c r="D47" s="44" t="str">
        <x:v>検索条件・ページング・結果なし表示をテストする</x:v>
      </x:c>
      <x:c r="E47" s="44" t="str">
        <x:v>履歴/検索の操作回帰を防ぐ</x:v>
      </x:c>
      <x:c r="F47" s="49" t="str">
        <x:v>P3</x:v>
      </x:c>
      <x:c r="G47" s="44" t="str">
        <x:v>Frontend component</x:v>
      </x:c>
      <x:c r="H47" s="44" t="str">
        <x:v>API mock</x:v>
      </x:c>
      <x:c r="I47" s="37"/>
      <x:c r="J47" s="37"/>
      <x:c r="K47" s="37"/>
    </x:row>
    <x:row r="48" ht="34.5" customHeight="1">
      <x:c r="A48" s="49" t="str">
        <x:v>E-001</x:v>
      </x:c>
      <x:c r="B48" s="44" t="str">
        <x:v>E2E</x:v>
      </x:c>
      <x:c r="C48" s="44" t="str">
        <x:v>記録→検索→人物ダッシュボード</x:v>
      </x:c>
      <x:c r="D48" s="44" t="str">
        <x:v>やり取りを記録し、検索結果と人物ダッシュボードに反映される</x:v>
      </x:c>
      <x:c r="E48" s="44" t="str">
        <x:v>ユーザー主要導線をブラウザ操作で保証する</x:v>
      </x:c>
      <x:c r="F48" s="49" t="str">
        <x:v>P2</x:v>
      </x:c>
      <x:c r="G48" s="44" t="str">
        <x:v>E2E</x:v>
      </x:c>
      <x:c r="H48" s="44" t="str">
        <x:v>Playwright等の導入が前提</x:v>
      </x:c>
      <x:c r="I48" s="37"/>
      <x:c r="J48" s="37"/>
      <x:c r="K48" s="37"/>
    </x:row>
    <x:row r="49" ht="34.5" customHeight="1">
      <x:c r="A49" s="49" t="str">
        <x:v>E-002</x:v>
      </x:c>
      <x:c r="B49" s="44" t="str">
        <x:v>E2E</x:v>
      </x:c>
      <x:c r="C49" s="44" t="str">
        <x:v>記録→タスク候補→承認/却下</x:v>
      </x:c>
      <x:c r="D49" s="44" t="str">
        <x:v>タスク候補の抽出から操作までを通す</x:v>
      </x:c>
      <x:c r="E49" s="44" t="str">
        <x:v>AI/抽出後処理を含む主要価値を確認する</x:v>
      </x:c>
      <x:c r="F49" s="49" t="str">
        <x:v>P3</x:v>
      </x:c>
      <x:c r="G49" s="44" t="str">
        <x:v>E2E</x:v>
      </x:c>
      <x:c r="H49" s="44" t="str">
        <x:v>バックグラウンド処理待ちの設計が必要</x:v>
      </x:c>
      <x:c r="I49" s="37"/>
      <x:c r="J49" s="37"/>
      <x:c r="K49" s="37"/>
    </x:row>
    <x:row r="50" ht="34.5" customHeight="1">
      <x:c r="A50" s="49" t="str">
        <x:v>E-003</x:v>
      </x:c>
      <x:c r="B50" s="44" t="str">
        <x:v>E2E</x:v>
      </x:c>
      <x:c r="C50" s="44" t="str">
        <x:v>予定作成→検索</x:v>
      </x:c>
      <x:c r="D50" s="44" t="str">
        <x:v>カレンダー予定を作成しメモリ検索で見つかる</x:v>
      </x:c>
      <x:c r="E50" s="44" t="str">
        <x:v>予定情報が記憶検索に入る導線を保証する</x:v>
      </x:c>
      <x:c r="F50" s="49" t="str">
        <x:v>P3</x:v>
      </x:c>
      <x:c r="G50" s="44" t="str">
        <x:v>E2E</x:v>
      </x:c>
      <x:c r="H50" s="44" t="str">
        <x:v>検索インデックス反映待ちを考慮</x:v>
      </x:c>
      <x:c r="I50" s="37"/>
      <x:c r="J50" s="37"/>
      <x:c r="K50" s="37"/>
    </x:row>
  </x:sheetData>
  <x:mergeCells>
    <x:mergeCell ref="A1:H1"/>
  </x:mergeCells>
  <x:conditionalFormatting sqref="F3:F5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  <x:cfRule type="containsText" dxfId="3" priority="4" operator="containsText" text="P3"/>
  </x:conditionalFormatting>
  <x:dataValidations count="1">
    <x:dataValidation type="list" sqref="F3:F5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95d8640f4b4f9a"/>
  </x:tableParts>
</x:worksheet>
</file>